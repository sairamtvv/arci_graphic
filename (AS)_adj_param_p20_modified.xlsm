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image/x-emf" Extension="emf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/>
  <bookViews>
    <workbookView activeTab="0" autoFilterDateGrouping="1" firstSheet="0" minimized="0" showHorizontalScroll="1" showSheetTabs="1" showVerticalScroll="1" tabRatio="185" visibility="visible" windowHeight="7920" windowWidth="8445" xWindow="2730" yWindow="540"/>
  </bookViews>
  <sheets>
    <sheet xmlns:r="http://schemas.openxmlformats.org/officeDocument/2006/relationships" name="sheetsai" sheetId="1" state="visible" r:id="rId1"/>
  </sheets>
  <definedNames>
    <definedName localSheetId="0" name="_xlnm.Print_Area">'sheetsai'!$A$28:$I$50</definedName>
  </definedNames>
  <calcPr calcId="162913" fullCalcOnLoad="1"/>
</workbook>
</file>

<file path=xl/styles.xml><?xml version="1.0" encoding="utf-8"?>
<styleSheet xmlns="http://schemas.openxmlformats.org/spreadsheetml/2006/main">
  <numFmts count="2">
    <numFmt formatCode="0.000" numFmtId="164"/>
    <numFmt formatCode="0.000000" numFmtId="165"/>
  </numFmts>
  <fonts count="8">
    <font>
      <name val="Arial Cyr"/>
      <charset val="204"/>
      <sz val="10"/>
    </font>
    <font>
      <name val="Symbol"/>
      <charset val="2"/>
      <family val="1"/>
      <sz val="12"/>
    </font>
    <font>
      <name val="Times New Roman"/>
      <family val="1"/>
      <sz val="12"/>
    </font>
    <font>
      <name val="Times New Roman"/>
      <family val="1"/>
      <sz val="12"/>
      <vertAlign val="subscript"/>
    </font>
    <font>
      <name val="Times New Roman"/>
      <family val="1"/>
      <sz val="12"/>
      <vertAlign val="superscript"/>
    </font>
    <font>
      <name val="Times New Roman"/>
      <family val="1"/>
      <sz val="16"/>
    </font>
    <font>
      <name val="Arial Cyr"/>
      <charset val="204"/>
      <sz val="14"/>
    </font>
    <font>
      <name val="Arial Cyr"/>
      <charset val="204"/>
      <sz val="12"/>
    </font>
  </fonts>
  <fills count="5">
    <fill>
      <patternFill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borderId="0" fillId="0" fontId="0" numFmtId="0"/>
  </cellStyleXfs>
  <cellXfs count="52">
    <xf borderId="0" fillId="0" fontId="0" numFmtId="0" pivotButton="0" quotePrefix="0" xfId="0"/>
    <xf borderId="1" fillId="0" fontId="0" numFmtId="0" pivotButton="0" quotePrefix="0" xfId="0"/>
    <xf borderId="2" fillId="0" fontId="0" numFmtId="0" pivotButton="0" quotePrefix="0" xfId="0"/>
    <xf borderId="1" fillId="0" fontId="1" numFmtId="0" pivotButton="0" quotePrefix="0" xfId="0"/>
    <xf borderId="0" fillId="0" fontId="1" numFmtId="0" pivotButton="0" quotePrefix="0" xfId="0"/>
    <xf borderId="0" fillId="0" fontId="0" numFmtId="0" pivotButton="0" quotePrefix="0" xfId="0"/>
    <xf applyAlignment="1" borderId="0" fillId="0" fontId="0" numFmtId="0" pivotButton="0" quotePrefix="0" xfId="0">
      <alignment horizontal="center"/>
    </xf>
    <xf applyAlignment="1" borderId="1" fillId="0" fontId="0" numFmtId="0" pivotButton="0" quotePrefix="0" xfId="0">
      <alignment horizontal="center"/>
    </xf>
    <xf applyAlignment="1" borderId="2" fillId="0" fontId="0" numFmtId="0" pivotButton="0" quotePrefix="0" xfId="0">
      <alignment horizontal="center"/>
    </xf>
    <xf applyAlignment="1" borderId="0" fillId="2" fontId="0" numFmtId="0" pivotButton="0" quotePrefix="0" xfId="0">
      <alignment horizontal="right"/>
    </xf>
    <xf applyAlignment="1" borderId="3" fillId="2" fontId="1" numFmtId="0" pivotButton="0" quotePrefix="0" xfId="0">
      <alignment horizontal="right"/>
    </xf>
    <xf borderId="3" fillId="2" fontId="0" numFmtId="0" pivotButton="0" quotePrefix="0" xfId="0"/>
    <xf applyAlignment="1" borderId="2" fillId="0" fontId="0" numFmtId="0" pivotButton="0" quotePrefix="0" xfId="0">
      <alignment horizontal="left"/>
    </xf>
    <xf applyAlignment="1" borderId="2" fillId="0" fontId="0" numFmtId="0" pivotButton="0" quotePrefix="1" xfId="0">
      <alignment horizontal="center"/>
    </xf>
    <xf borderId="3" fillId="0" fontId="0" numFmtId="0" pivotButton="0" quotePrefix="0" xfId="0"/>
    <xf applyAlignment="1" borderId="4" fillId="3" fontId="0" numFmtId="0" pivotButton="0" quotePrefix="0" xfId="0">
      <alignment horizontal="right"/>
    </xf>
    <xf applyAlignment="1" borderId="0" fillId="0" fontId="0" numFmtId="164" pivotButton="0" quotePrefix="0" xfId="0">
      <alignment horizontal="left"/>
    </xf>
    <xf applyAlignment="1" borderId="0" fillId="0" fontId="0" numFmtId="164" pivotButton="0" quotePrefix="0" xfId="0">
      <alignment horizontal="right"/>
    </xf>
    <xf borderId="0" fillId="0" fontId="0" numFmtId="164" pivotButton="0" quotePrefix="0" xfId="0"/>
    <xf applyAlignment="1" borderId="5" fillId="0" fontId="3" numFmtId="164" pivotButton="0" quotePrefix="0" xfId="0">
      <alignment horizontal="center" vertical="center" wrapText="1"/>
    </xf>
    <xf applyAlignment="1" borderId="5" fillId="0" fontId="2" numFmtId="164" pivotButton="0" quotePrefix="0" xfId="0">
      <alignment horizontal="center" vertical="center" wrapText="1"/>
    </xf>
    <xf applyAlignment="1" borderId="6" fillId="0" fontId="2" numFmtId="164" pivotButton="0" quotePrefix="0" xfId="0">
      <alignment horizontal="center" vertical="center" wrapText="1"/>
    </xf>
    <xf applyAlignment="1" borderId="6" fillId="0" fontId="1" numFmtId="164" pivotButton="0" quotePrefix="0" xfId="0">
      <alignment horizontal="center" vertical="center" wrapText="1"/>
    </xf>
    <xf applyAlignment="1" borderId="5" fillId="0" fontId="1" numFmtId="164" pivotButton="0" quotePrefix="0" xfId="0">
      <alignment horizontal="center" vertical="center"/>
    </xf>
    <xf applyAlignment="1" borderId="5" fillId="0" fontId="0" numFmtId="164" pivotButton="0" quotePrefix="0" xfId="0">
      <alignment horizontal="center" vertical="center"/>
    </xf>
    <xf applyAlignment="1" borderId="5" fillId="0" fontId="1" numFmtId="164" pivotButton="0" quotePrefix="0" xfId="0">
      <alignment horizontal="center" vertical="center" wrapText="1"/>
    </xf>
    <xf borderId="5" fillId="0" fontId="0" numFmtId="164" pivotButton="0" quotePrefix="0" xfId="0"/>
    <xf borderId="5" fillId="0" fontId="1" numFmtId="164" pivotButton="0" quotePrefix="0" xfId="0"/>
    <xf applyAlignment="1" borderId="5" fillId="0" fontId="4" numFmtId="164" pivotButton="0" quotePrefix="0" xfId="0">
      <alignment horizontal="center" vertical="center" wrapText="1"/>
    </xf>
    <xf applyAlignment="1" borderId="8" fillId="0" fontId="0" numFmtId="164" pivotButton="0" quotePrefix="0" xfId="0">
      <alignment horizontal="center" vertical="center"/>
    </xf>
    <xf applyAlignment="1" borderId="9" fillId="0" fontId="0" numFmtId="164" pivotButton="0" quotePrefix="0" xfId="0">
      <alignment horizontal="center" vertical="center"/>
    </xf>
    <xf applyAlignment="1" borderId="0" fillId="0" fontId="0" numFmtId="164" pivotButton="0" quotePrefix="0" xfId="0">
      <alignment horizontal="center" vertical="center"/>
    </xf>
    <xf applyAlignment="1" borderId="5" fillId="0" fontId="5" numFmtId="164" pivotButton="0" quotePrefix="0" xfId="0">
      <alignment horizontal="center" vertical="center" wrapText="1"/>
    </xf>
    <xf applyAlignment="1" borderId="5" fillId="0" fontId="0" numFmtId="165" pivotButton="0" quotePrefix="0" xfId="0">
      <alignment horizontal="center" vertical="center"/>
    </xf>
    <xf applyAlignment="1" borderId="5" fillId="0" fontId="0" numFmtId="0" pivotButton="0" quotePrefix="0" xfId="0">
      <alignment horizontal="center" vertical="center"/>
    </xf>
    <xf applyAlignment="1" borderId="10" fillId="4" fontId="0" numFmtId="0" pivotButton="0" quotePrefix="0" xfId="0">
      <alignment horizontal="center"/>
    </xf>
    <xf applyAlignment="1" borderId="11" fillId="4" fontId="0" numFmtId="0" pivotButton="0" quotePrefix="1" xfId="0">
      <alignment horizontal="center"/>
    </xf>
    <xf applyAlignment="1" borderId="5" fillId="0" fontId="0" numFmtId="164" pivotButton="0" quotePrefix="0" xfId="0">
      <alignment horizontal="center"/>
    </xf>
    <xf applyAlignment="1" borderId="12" fillId="3" fontId="0" numFmtId="0" pivotButton="0" quotePrefix="0" xfId="0">
      <alignment horizontal="center"/>
    </xf>
    <xf applyAlignment="1" borderId="13" fillId="3" fontId="0" numFmtId="0" pivotButton="0" quotePrefix="0" xfId="0">
      <alignment horizontal="center"/>
    </xf>
    <xf borderId="0" fillId="2" fontId="0" numFmtId="164" pivotButton="0" quotePrefix="0" xfId="0"/>
    <xf applyAlignment="1" borderId="0" fillId="0" fontId="0" numFmtId="164" pivotButton="0" quotePrefix="0" xfId="0">
      <alignment horizontal="center"/>
    </xf>
    <xf applyAlignment="1" borderId="7" fillId="0" fontId="0" numFmtId="164" pivotButton="0" quotePrefix="0" xfId="0">
      <alignment horizontal="center" vertical="center"/>
    </xf>
    <xf applyAlignment="1" borderId="0" fillId="0" fontId="7" numFmtId="164" pivotButton="0" quotePrefix="0" xfId="0">
      <alignment horizontal="left" vertical="center"/>
    </xf>
    <xf borderId="0" fillId="0" fontId="0" numFmtId="0" pivotButton="0" quotePrefix="0" xfId="0"/>
    <xf applyAlignment="1" borderId="0" fillId="0" fontId="7" numFmtId="0" pivotButton="0" quotePrefix="0" xfId="0">
      <alignment horizontal="left" vertical="center"/>
    </xf>
    <xf applyAlignment="1" borderId="5" fillId="0" fontId="0" numFmtId="164" pivotButton="0" quotePrefix="0" xfId="0">
      <alignment horizontal="center"/>
    </xf>
    <xf borderId="14" fillId="0" fontId="0" numFmtId="0" pivotButton="0" quotePrefix="0" xfId="0"/>
    <xf borderId="7" fillId="0" fontId="0" numFmtId="0" pivotButton="0" quotePrefix="0" xfId="0"/>
    <xf applyAlignment="1" borderId="5" fillId="0" fontId="0" numFmtId="164" pivotButton="0" quotePrefix="0" xfId="0">
      <alignment horizontal="center" vertical="center"/>
    </xf>
    <xf applyAlignment="1" borderId="1" fillId="0" fontId="6" numFmtId="164" pivotButton="0" quotePrefix="0" xfId="0">
      <alignment horizontal="center" vertical="center"/>
    </xf>
    <xf borderId="1" fillId="0" fontId="0" numFmtId="0" pivotButton="0" quotePrefix="0" xfId="0"/>
  </cellXfs>
  <cellStyles count="1">
    <cellStyle builtinId="0" name="Normal" xfId="0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styles.xml" Type="http://schemas.openxmlformats.org/officeDocument/2006/relationships/styles"/><Relationship Id="rId3" Target="theme/theme1.xml" Type="http://schemas.openxmlformats.org/officeDocument/2006/relationships/theme"/><Relationship Id="rId4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75"/>
  <sheetViews>
    <sheetView tabSelected="1" topLeftCell="A7" workbookViewId="0" zoomScaleNormal="100">
      <selection activeCell="B19" sqref="B19:G24"/>
    </sheetView>
  </sheetViews>
  <sheetFormatPr baseColWidth="8" defaultColWidth="12.7109375" defaultRowHeight="12.75"/>
  <cols>
    <col customWidth="1" max="1" min="1" style="44" width="10"/>
    <col customWidth="1" max="2" min="2" style="44" width="14.42578125"/>
    <col customWidth="1" max="3" min="3" style="44" width="9.85546875"/>
    <col customWidth="1" max="4" min="4" style="44" width="11.140625"/>
    <col customWidth="1" max="5" min="5" style="44" width="11.5703125"/>
    <col customWidth="1" max="6" min="6" style="44" width="10.28515625"/>
    <col customWidth="1" max="7" min="7" style="44" width="10.140625"/>
    <col customWidth="1" max="8" min="8" style="44" width="11"/>
    <col customWidth="1" max="9" min="9" style="44" width="10.42578125"/>
    <col customWidth="1" max="11" min="10" style="44" width="10.28515625"/>
    <col customWidth="1" max="12" min="12" style="44" width="8.7109375"/>
  </cols>
  <sheetData>
    <row customHeight="1" ht="13.5" r="1" s="44" thickBot="1">
      <c r="A1" s="35" t="inlineStr">
        <is>
          <t>#EQA3-31</t>
        </is>
      </c>
      <c r="B1" s="36" t="inlineStr">
        <is>
          <t>+20°</t>
        </is>
      </c>
    </row>
    <row r="2">
      <c r="B2" s="6" t="inlineStr">
        <is>
          <t>Drift</t>
        </is>
      </c>
      <c r="C2" t="inlineStr">
        <is>
          <t>U3, mV</t>
        </is>
      </c>
    </row>
    <row r="3">
      <c r="C3" s="6" t="n"/>
      <c r="D3" s="6" t="n"/>
      <c r="E3" s="6" t="n"/>
      <c r="F3" s="6" t="n"/>
      <c r="G3" s="6" t="n"/>
      <c r="I3" t="inlineStr">
        <is>
          <t>Distorsion</t>
        </is>
      </c>
    </row>
    <row r="4">
      <c r="B4" s="6" t="inlineStr">
        <is>
          <t>U1</t>
        </is>
      </c>
      <c r="C4" s="41" t="n">
        <v>33</v>
      </c>
      <c r="H4" s="12" t="inlineStr">
        <is>
          <t>Cycle No</t>
        </is>
      </c>
    </row>
    <row r="5">
      <c r="B5" s="6" t="inlineStr">
        <is>
          <t>U2</t>
        </is>
      </c>
      <c r="C5" s="41" t="n">
        <v>25</v>
      </c>
      <c r="H5" s="8" t="inlineStr">
        <is>
          <t>mV</t>
        </is>
      </c>
      <c r="I5" s="6" t="inlineStr">
        <is>
          <t>U31</t>
        </is>
      </c>
      <c r="J5" s="6" t="inlineStr">
        <is>
          <t>U32</t>
        </is>
      </c>
      <c r="K5" s="6" t="inlineStr">
        <is>
          <t>U41</t>
        </is>
      </c>
      <c r="L5" s="6" t="inlineStr">
        <is>
          <t>U42</t>
        </is>
      </c>
    </row>
    <row r="6">
      <c r="B6" s="6" t="inlineStr">
        <is>
          <t>U3</t>
        </is>
      </c>
      <c r="C6" s="41" t="n">
        <v>555</v>
      </c>
      <c r="H6" s="8" t="n">
        <v>1</v>
      </c>
      <c r="I6" s="41" t="n"/>
      <c r="J6" s="41" t="n"/>
      <c r="K6" s="41" t="n"/>
      <c r="L6" s="41" t="n"/>
    </row>
    <row r="7">
      <c r="B7" s="6" t="inlineStr">
        <is>
          <t>U4</t>
        </is>
      </c>
      <c r="C7" s="41" t="n">
        <v>0.07199999999999999</v>
      </c>
      <c r="H7" s="8" t="n">
        <v>2</v>
      </c>
      <c r="I7" s="41" t="n"/>
      <c r="J7" s="41" t="n"/>
      <c r="K7" s="41" t="n"/>
      <c r="L7" s="41" t="n"/>
    </row>
    <row r="8">
      <c r="B8" s="6" t="inlineStr">
        <is>
          <t>U5</t>
        </is>
      </c>
      <c r="C8" s="41" t="n">
        <v>4</v>
      </c>
      <c r="H8" s="8" t="n"/>
    </row>
    <row r="9">
      <c r="B9" s="6" t="inlineStr">
        <is>
          <t>U6</t>
        </is>
      </c>
      <c r="C9" s="41" t="n">
        <v>4</v>
      </c>
      <c r="H9" s="13" t="n"/>
    </row>
    <row r="10">
      <c r="B10" s="6" t="inlineStr">
        <is>
          <t>U7</t>
        </is>
      </c>
      <c r="C10" s="41" t="n">
        <v>1</v>
      </c>
    </row>
    <row r="11">
      <c r="B11" s="6" t="inlineStr">
        <is>
          <t>U8</t>
        </is>
      </c>
      <c r="C11" s="41" t="n">
        <v>0.06900000000000001</v>
      </c>
    </row>
    <row r="12">
      <c r="B12" s="6" t="inlineStr">
        <is>
          <t>U9</t>
        </is>
      </c>
      <c r="C12" s="41" t="n">
        <v>1</v>
      </c>
    </row>
    <row r="13">
      <c r="A13" s="51" t="n"/>
      <c r="B13" s="7" t="inlineStr">
        <is>
          <t>U10</t>
        </is>
      </c>
      <c r="C13" s="41" t="n">
        <v>25</v>
      </c>
      <c r="D13" s="51" t="n"/>
      <c r="E13" s="51" t="n"/>
      <c r="F13" s="51" t="n"/>
      <c r="G13" s="51" t="n"/>
      <c r="H13" s="51" t="n"/>
      <c r="I13" s="51" t="n"/>
    </row>
    <row r="14">
      <c r="B14" s="9" t="inlineStr">
        <is>
          <t>Mk =</t>
        </is>
      </c>
      <c r="C14" s="40">
        <f>SUM(C4:C13)</f>
        <v/>
      </c>
    </row>
    <row customHeight="1" ht="19.5" r="15" s="44" thickBot="1">
      <c r="A15" s="14" t="n"/>
      <c r="B15" s="10" t="inlineStr">
        <is>
          <t xml:space="preserve">dn = </t>
        </is>
      </c>
      <c r="C15" s="11">
        <f>(5.45*(C13-C4) + 4.24*(C12-C5) + 3.03*(C11-C6) + 1.82*(C10-C7) + 0.61*(C9-C8)) /10000 / C14</f>
        <v/>
      </c>
      <c r="D15" s="14" t="n"/>
      <c r="E15" s="14" t="n"/>
      <c r="F15" s="14" t="n"/>
      <c r="G15" s="14" t="n"/>
      <c r="H15" s="14" t="n"/>
      <c r="I15" s="14" t="n"/>
    </row>
    <row r="17">
      <c r="A17" s="2" t="inlineStr">
        <is>
          <t>Cycle No</t>
        </is>
      </c>
      <c r="C17" s="6" t="n"/>
      <c r="G17" s="6" t="n"/>
    </row>
    <row r="18">
      <c r="A18" s="2" t="inlineStr">
        <is>
          <t>mV</t>
        </is>
      </c>
      <c r="B18" s="6" t="inlineStr">
        <is>
          <t>U1</t>
        </is>
      </c>
      <c r="C18" s="6" t="inlineStr">
        <is>
          <t>U2</t>
        </is>
      </c>
      <c r="D18" s="6" t="inlineStr">
        <is>
          <t>U3</t>
        </is>
      </c>
      <c r="E18" s="6" t="inlineStr">
        <is>
          <t>U4</t>
        </is>
      </c>
      <c r="F18" s="6" t="inlineStr">
        <is>
          <t>U5</t>
        </is>
      </c>
      <c r="G18" s="6" t="inlineStr">
        <is>
          <t>U6</t>
        </is>
      </c>
      <c r="M18" s="6" t="n"/>
    </row>
    <row r="19">
      <c r="A19" s="2" t="n">
        <v>1</v>
      </c>
      <c r="B19" s="41" t="n">
        <v>-372.676</v>
      </c>
      <c r="C19" s="41" t="n">
        <v>372.17</v>
      </c>
      <c r="D19" s="41" t="n">
        <v>0.08199999999999999</v>
      </c>
      <c r="E19" s="41" t="n">
        <v>-0.5620000000000001</v>
      </c>
      <c r="F19" s="41" t="n">
        <v>-0.006</v>
      </c>
      <c r="G19" s="41" t="n">
        <v>-0.066</v>
      </c>
    </row>
    <row r="20">
      <c r="A20" s="2" t="n">
        <v>2</v>
      </c>
      <c r="B20" s="41" t="n">
        <v>-372.656</v>
      </c>
      <c r="C20" s="41" t="n">
        <v>372.17</v>
      </c>
      <c r="D20" s="41" t="n">
        <v>0.07200000000000001</v>
      </c>
      <c r="E20" s="41" t="n">
        <v>-0.555</v>
      </c>
      <c r="F20" s="41" t="n">
        <v>-0.02</v>
      </c>
      <c r="G20" s="41" t="n">
        <v>-0.07000000000000001</v>
      </c>
    </row>
    <row r="21">
      <c r="A21" s="2" t="n">
        <v>3</v>
      </c>
      <c r="B21" s="41" t="n">
        <v>-372.682</v>
      </c>
      <c r="C21" s="41" t="n">
        <v>372.187</v>
      </c>
      <c r="D21" s="41" t="n">
        <v>0.075</v>
      </c>
      <c r="E21" s="41" t="n">
        <v>-0.545</v>
      </c>
      <c r="F21" s="41" t="n">
        <v>-0.009000000000000001</v>
      </c>
      <c r="G21" s="41" t="n">
        <v>-0.066</v>
      </c>
    </row>
    <row r="22">
      <c r="A22" s="2" t="n">
        <v>4</v>
      </c>
      <c r="B22" s="41" t="n">
        <v>-372.654</v>
      </c>
      <c r="C22" s="41" t="n">
        <v>372.188</v>
      </c>
      <c r="D22" s="41" t="n">
        <v>0.08400000000000001</v>
      </c>
      <c r="E22" s="41" t="n">
        <v>-0.5479999999999999</v>
      </c>
      <c r="F22" s="41" t="n">
        <v>-0.009000000000000001</v>
      </c>
      <c r="G22" s="41" t="n">
        <v>-0.066</v>
      </c>
    </row>
    <row r="23">
      <c r="A23" s="2" t="n">
        <v>5</v>
      </c>
      <c r="B23" s="41" t="n">
        <v>-372.653</v>
      </c>
      <c r="C23" s="41" t="n">
        <v>372.188</v>
      </c>
      <c r="D23" s="41" t="n">
        <v>0.08</v>
      </c>
      <c r="E23" s="41" t="n">
        <v>-0.555</v>
      </c>
      <c r="F23" s="41" t="n">
        <v>-0.008</v>
      </c>
      <c r="G23" s="41" t="n">
        <v>-0.06</v>
      </c>
    </row>
    <row r="24">
      <c r="A24" s="2" t="n">
        <v>6</v>
      </c>
      <c r="B24" s="41" t="n">
        <v>-372.66</v>
      </c>
      <c r="C24" s="41" t="n">
        <v>372.191</v>
      </c>
      <c r="D24" s="41" t="n">
        <v>0.091</v>
      </c>
      <c r="E24" s="41" t="n">
        <v>-0.547</v>
      </c>
      <c r="F24" s="41" t="n">
        <v>-0.006999999999999999</v>
      </c>
      <c r="G24" s="41" t="n">
        <v>-0.065</v>
      </c>
    </row>
    <row r="25">
      <c r="F25" s="6" t="n"/>
      <c r="G25" s="6" t="n"/>
    </row>
    <row customHeight="1" ht="23.25" r="26" s="44">
      <c r="A26" s="15" t="inlineStr">
        <is>
          <t>R =</t>
        </is>
      </c>
      <c r="B26" s="38" t="n">
        <v>200</v>
      </c>
      <c r="C26" s="38" t="n"/>
      <c r="D26" s="38" t="inlineStr">
        <is>
          <t>g =</t>
        </is>
      </c>
      <c r="E26" s="38" t="n">
        <v>9.78335</v>
      </c>
      <c r="F26" s="38" t="n"/>
      <c r="G26" s="38" t="inlineStr">
        <is>
          <t xml:space="preserve">M0 = </t>
        </is>
      </c>
      <c r="H26" s="39" t="n">
        <v>0.18</v>
      </c>
    </row>
    <row customHeight="1" ht="23.25" r="27" s="44">
      <c r="A27" s="16">
        <f>A1</f>
        <v/>
      </c>
      <c r="B27" s="16" t="n"/>
      <c r="C27" s="18" t="n"/>
      <c r="D27" s="17" t="n"/>
      <c r="E27" s="18" t="n"/>
      <c r="F27" s="18" t="n"/>
      <c r="G27" s="17" t="n"/>
      <c r="H27" s="18" t="n"/>
      <c r="I27" s="18" t="n"/>
    </row>
    <row customHeight="1" ht="22.5" r="28" s="44">
      <c r="A28" s="50" t="inlineStr">
        <is>
          <t># EQA3-31.     Adjustment. Calculation accuracy parameters  at  t°= 20°C</t>
        </is>
      </c>
      <c r="B28" s="51" t="n"/>
      <c r="C28" s="51" t="n"/>
      <c r="D28" s="51" t="n"/>
      <c r="E28" s="51" t="n"/>
      <c r="F28" s="51" t="n"/>
      <c r="G28" s="51" t="n"/>
      <c r="H28" s="51" t="n"/>
      <c r="I28" s="51" t="n"/>
    </row>
    <row customHeight="1" ht="21.75" r="29" s="44">
      <c r="A29" s="49" t="inlineStr">
        <is>
          <t>Parameter</t>
        </is>
      </c>
      <c r="B29" s="49" t="inlineStr">
        <is>
          <t>Formula</t>
        </is>
      </c>
      <c r="C29" s="49" t="inlineStr">
        <is>
          <t>Tolerance</t>
        </is>
      </c>
      <c r="D29" s="34" t="inlineStr">
        <is>
          <t>Cycle 1</t>
        </is>
      </c>
      <c r="E29" s="34" t="inlineStr">
        <is>
          <t>Cycle 2</t>
        </is>
      </c>
      <c r="F29" s="34" t="inlineStr">
        <is>
          <t>Cycle 3</t>
        </is>
      </c>
      <c r="G29" s="34" t="inlineStr">
        <is>
          <t>Cycle 4</t>
        </is>
      </c>
      <c r="H29" s="34" t="inlineStr">
        <is>
          <t>Cycle 5</t>
        </is>
      </c>
      <c r="I29" s="34" t="inlineStr">
        <is>
          <t>Cycle 6</t>
        </is>
      </c>
    </row>
    <row customHeight="1" ht="22.5" r="30" s="44">
      <c r="A30" s="49" t="inlineStr">
        <is>
          <t>Mk</t>
        </is>
      </c>
      <c r="B30" s="19" t="n"/>
      <c r="C30" s="20" t="inlineStr">
        <is>
          <t>-</t>
        </is>
      </c>
      <c r="D30" s="33">
        <f>(-B19+C19) / 2 / E26 / B26</f>
        <v/>
      </c>
      <c r="E30" s="33">
        <f>(-B20+C20) / 2 / E26 / B26</f>
        <v/>
      </c>
      <c r="F30" s="33">
        <f>(-B21+C21) / 2 / E26 / B26</f>
        <v/>
      </c>
      <c r="G30" s="33">
        <f>(-B22+C22) / 2 / E26 / B26</f>
        <v/>
      </c>
      <c r="H30" s="33">
        <f>(-B23+C23) / 2 / E26 / B26</f>
        <v/>
      </c>
      <c r="I30" s="33">
        <f>(-B24+C24) / 2 / E26 / B26</f>
        <v/>
      </c>
    </row>
    <row customHeight="1" ht="22.5" r="31" s="44">
      <c r="A31" s="23" t="inlineStr">
        <is>
          <t>mk*104</t>
        </is>
      </c>
      <c r="B31" s="21" t="n"/>
      <c r="C31" s="21" t="inlineStr">
        <is>
          <t>-</t>
        </is>
      </c>
      <c r="D31" s="49">
        <f>(D30-H26) / H26 * 10000</f>
        <v/>
      </c>
      <c r="E31" s="49">
        <f>(E30-H26) / H26 * 10000</f>
        <v/>
      </c>
      <c r="F31" s="49">
        <f>(F30-H26) / H26 * 10000</f>
        <v/>
      </c>
      <c r="G31" s="49">
        <f>(G30-H26) / H26 * 10000</f>
        <v/>
      </c>
      <c r="H31" s="49">
        <f>(H30-H26) / H26 * 10000</f>
        <v/>
      </c>
      <c r="I31" s="49">
        <f>(G30-H26) / H26 * 10000</f>
        <v/>
      </c>
    </row>
    <row customHeight="1" ht="22.5" r="32" s="44">
      <c r="A32" s="23" t="inlineStr">
        <is>
          <t>mi*104</t>
        </is>
      </c>
      <c r="B32" s="21" t="n"/>
      <c r="C32" s="22" t="inlineStr">
        <is>
          <t>±1000,00</t>
        </is>
      </c>
      <c r="D32" s="49">
        <f>(SUM(D31:I31)) / 6</f>
        <v/>
      </c>
      <c r="E32" s="47" t="n"/>
      <c r="F32" s="47" t="n"/>
      <c r="G32" s="47" t="n"/>
      <c r="H32" s="47" t="n"/>
      <c r="I32" s="48" t="n"/>
    </row>
    <row customHeight="1" ht="21" r="33" s="44">
      <c r="A33" s="23" t="inlineStr">
        <is>
          <t>dmk*104</t>
        </is>
      </c>
      <c r="B33" s="22" t="inlineStr">
        <is>
          <t>mк-mi</t>
        </is>
      </c>
      <c r="C33" s="22" t="inlineStr">
        <is>
          <t>±0,35</t>
        </is>
      </c>
      <c r="D33" s="49">
        <f>D31-D32</f>
        <v/>
      </c>
      <c r="E33" s="49">
        <f>E31-D32</f>
        <v/>
      </c>
      <c r="F33" s="49">
        <f>F31-D32</f>
        <v/>
      </c>
      <c r="G33" s="49">
        <f>G31-D32</f>
        <v/>
      </c>
      <c r="H33" s="49">
        <f>H31-D32</f>
        <v/>
      </c>
      <c r="I33" s="42">
        <f>I31-D32</f>
        <v/>
      </c>
    </row>
    <row customHeight="1" ht="22.5" r="34" s="44">
      <c r="A34" s="23" t="inlineStr">
        <is>
          <t>tk34*104</t>
        </is>
      </c>
      <c r="B34" s="21" t="n"/>
      <c r="C34" s="22" t="inlineStr">
        <is>
          <t>±60,00</t>
        </is>
      </c>
      <c r="D34" s="49">
        <f>(D19+E19) / 2 /E26/B26/ D30 * 10000</f>
        <v/>
      </c>
      <c r="E34" s="49">
        <f>(D20+E20) / 2 /E26/B26/ E30 * 10000</f>
        <v/>
      </c>
      <c r="F34" s="49">
        <f>(D21+E21) / 2 /E26/B26/ F30 * 10000</f>
        <v/>
      </c>
      <c r="G34" s="49">
        <f>(D22+E22) / 2 /E26/B26/ G30 * 10000</f>
        <v/>
      </c>
      <c r="H34" s="49">
        <f>(D23+E23) / 2 /E26/B26/ H30 * 10000</f>
        <v/>
      </c>
      <c r="I34" s="49">
        <f>(D24+E24) / 2 /E26/B26/ I30 * 10000</f>
        <v/>
      </c>
    </row>
    <row customHeight="1" ht="22.5" r="35" s="44">
      <c r="A35" s="23" t="inlineStr">
        <is>
          <t>ti34*104</t>
        </is>
      </c>
      <c r="B35" s="20" t="n"/>
      <c r="C35" s="22" t="inlineStr">
        <is>
          <t>±60,00</t>
        </is>
      </c>
      <c r="D35" s="49">
        <f>SUM(D34:I34) / 6</f>
        <v/>
      </c>
      <c r="E35" s="47" t="n"/>
      <c r="F35" s="47" t="n"/>
      <c r="G35" s="47" t="n"/>
      <c r="H35" s="47" t="n"/>
      <c r="I35" s="48" t="n"/>
    </row>
    <row customHeight="1" ht="21" r="36" s="44">
      <c r="A36" s="23" t="inlineStr">
        <is>
          <t>dtk34*104</t>
        </is>
      </c>
      <c r="B36" s="25" t="inlineStr">
        <is>
          <t>tк -tI</t>
        </is>
      </c>
      <c r="C36" s="22" t="inlineStr">
        <is>
          <t>±0,35</t>
        </is>
      </c>
      <c r="D36" s="49">
        <f>D34-D35</f>
        <v/>
      </c>
      <c r="E36" s="29">
        <f>E34-D35</f>
        <v/>
      </c>
      <c r="F36" s="29">
        <f>F34-D35</f>
        <v/>
      </c>
      <c r="G36" s="29">
        <f>G34-D35</f>
        <v/>
      </c>
      <c r="H36" s="49">
        <f>H34-D35</f>
        <v/>
      </c>
      <c r="I36" s="49">
        <f>I34-D35</f>
        <v/>
      </c>
    </row>
    <row customHeight="1" ht="22.5" r="37" s="44">
      <c r="A37" s="23" t="inlineStr">
        <is>
          <t>t'i*104</t>
        </is>
      </c>
      <c r="B37" s="26" t="n"/>
      <c r="C37" s="22" t="inlineStr">
        <is>
          <t>±60,00</t>
        </is>
      </c>
      <c r="D37" s="49">
        <f>((B19+C19)/(B19-C19) + (B20+C20)/(B20-C20) + (B21+C21)/(B21-C21) + (B22+C22)/(B22-C22) + (B23+C23)/(B23-C23) + (B24+C24)/(B24-C24)) / 6 * 10000</f>
        <v/>
      </c>
      <c r="E37" s="47" t="n"/>
      <c r="F37" s="47" t="n"/>
      <c r="G37" s="47" t="n"/>
      <c r="H37" s="47" t="n"/>
      <c r="I37" s="48" t="n"/>
    </row>
    <row customHeight="1" ht="21" r="38" s="44">
      <c r="A38" s="23" t="inlineStr">
        <is>
          <t>dt'i*104</t>
        </is>
      </c>
      <c r="B38" s="25" t="inlineStr">
        <is>
          <t>ti¢-ti</t>
        </is>
      </c>
      <c r="C38" s="22" t="inlineStr">
        <is>
          <t>±1,80</t>
        </is>
      </c>
      <c r="D38" s="49">
        <f>D37-D35</f>
        <v/>
      </c>
      <c r="E38" s="47" t="n"/>
      <c r="F38" s="47" t="n"/>
      <c r="G38" s="47" t="n"/>
      <c r="H38" s="47" t="n"/>
      <c r="I38" s="48" t="n"/>
    </row>
    <row customHeight="1" ht="22.5" r="39" s="44">
      <c r="A39" s="27" t="inlineStr">
        <is>
          <t>tk56*104</t>
        </is>
      </c>
      <c r="B39" s="49" t="n"/>
      <c r="C39" s="22" t="inlineStr">
        <is>
          <t>±60,00</t>
        </is>
      </c>
      <c r="D39" s="46">
        <f>(F19+G19) / 2 /E26/B26/ D30 * 10000</f>
        <v/>
      </c>
      <c r="E39" s="46">
        <f>(F20+G20) / 2 /E26/B26/ E30 * 10000</f>
        <v/>
      </c>
      <c r="F39" s="46">
        <f>(F21+G21) / 2 /E26/B26/ F30 * 10000</f>
        <v/>
      </c>
      <c r="G39" s="46">
        <f>(F22+G22) / 2 /E26/B26/ G30 * 10000</f>
        <v/>
      </c>
      <c r="H39" s="46">
        <f>(F23+G23) / 2 /E26/B26/ H30 * 10000</f>
        <v/>
      </c>
      <c r="I39" s="46">
        <f>(F24+G24) / 2 /E26/B26/ I30 * 10000</f>
        <v/>
      </c>
    </row>
    <row customHeight="1" ht="27" r="40" s="44">
      <c r="A40" s="27" t="inlineStr">
        <is>
          <t>ti56*104</t>
        </is>
      </c>
      <c r="B40" s="49" t="n"/>
      <c r="C40" s="22" t="inlineStr">
        <is>
          <t>±60,00</t>
        </is>
      </c>
      <c r="D40" s="46">
        <f>SUM(D39:I39) / 6</f>
        <v/>
      </c>
      <c r="E40" s="47" t="n"/>
      <c r="F40" s="47" t="n"/>
      <c r="G40" s="47" t="n"/>
      <c r="H40" s="47" t="n"/>
      <c r="I40" s="48" t="n"/>
    </row>
    <row customHeight="1" ht="20.25" r="41" s="44">
      <c r="A41" s="27" t="inlineStr">
        <is>
          <t>dtk56*104</t>
        </is>
      </c>
      <c r="B41" s="25" t="inlineStr">
        <is>
          <t>tk56-ti56</t>
        </is>
      </c>
      <c r="C41" s="22" t="inlineStr">
        <is>
          <t>±0,35</t>
        </is>
      </c>
      <c r="D41" s="46">
        <f>D39-D40</f>
        <v/>
      </c>
      <c r="E41" s="46">
        <f>E39-D40</f>
        <v/>
      </c>
      <c r="F41" s="46">
        <f>F39-D40</f>
        <v/>
      </c>
      <c r="G41" s="46">
        <f>G39-D40</f>
        <v/>
      </c>
      <c r="H41" s="46">
        <f>H39-D40</f>
        <v/>
      </c>
      <c r="I41" s="46">
        <f>I39-D40</f>
        <v/>
      </c>
    </row>
    <row customHeight="1" ht="21" r="42" s="44">
      <c r="A42" s="25" t="inlineStr">
        <is>
          <t>dti ×104</t>
        </is>
      </c>
      <c r="B42" s="25" t="inlineStr">
        <is>
          <t>ti34-ti56</t>
        </is>
      </c>
      <c r="C42" s="22" t="inlineStr">
        <is>
          <t>±0,50</t>
        </is>
      </c>
      <c r="D42" s="49">
        <f>D35-D40</f>
        <v/>
      </c>
      <c r="E42" s="47" t="n"/>
      <c r="F42" s="47" t="n"/>
      <c r="G42" s="47" t="n"/>
      <c r="H42" s="47" t="n"/>
      <c r="I42" s="48" t="n"/>
    </row>
    <row customHeight="1" ht="27" r="43" s="44">
      <c r="A43" s="23" t="inlineStr">
        <is>
          <t>ak</t>
        </is>
      </c>
      <c r="B43" s="28" t="n"/>
      <c r="C43" s="22" t="inlineStr">
        <is>
          <t>±200,00</t>
        </is>
      </c>
      <c r="D43" s="29">
        <f>(D19-E19) / 2 / B26/E26/D30 * 206265</f>
        <v/>
      </c>
      <c r="E43" s="31">
        <f>(D20-E20) / 2/ E26/B26/E30 * 206265</f>
        <v/>
      </c>
      <c r="F43" s="29">
        <f>(D21-E21) / 2 / E26/B26/F30 * 206265</f>
        <v/>
      </c>
      <c r="G43" s="31">
        <f>(D22-E22) / 2 /E26/B26/ G30 *206265</f>
        <v/>
      </c>
      <c r="H43" s="29">
        <f>(D23-E23) /2 / E26/B26/H30* 206265</f>
        <v/>
      </c>
      <c r="I43" s="49">
        <f>(D24-E24) / 2 /E26/B26/ I30 *206265</f>
        <v/>
      </c>
    </row>
    <row customHeight="1" ht="21.75" r="44" s="44">
      <c r="A44" s="23" t="inlineStr">
        <is>
          <t>ai</t>
        </is>
      </c>
      <c r="B44" s="19" t="n"/>
      <c r="C44" s="22" t="inlineStr">
        <is>
          <t>±200,00</t>
        </is>
      </c>
      <c r="D44" s="49">
        <f>SUM(D43:I43) / 6</f>
        <v/>
      </c>
      <c r="E44" s="47" t="n"/>
      <c r="F44" s="47" t="n"/>
      <c r="G44" s="47" t="n"/>
      <c r="H44" s="47" t="n"/>
      <c r="I44" s="48" t="n"/>
    </row>
    <row customHeight="1" ht="21" r="45" s="44">
      <c r="A45" s="23" t="inlineStr">
        <is>
          <t>dak</t>
        </is>
      </c>
      <c r="B45" s="22" t="inlineStr">
        <is>
          <t>ai -aк</t>
        </is>
      </c>
      <c r="C45" s="22" t="inlineStr">
        <is>
          <t>±10,00</t>
        </is>
      </c>
      <c r="D45" s="29">
        <f>D43-D44</f>
        <v/>
      </c>
      <c r="E45" s="30">
        <f>E43-D44</f>
        <v/>
      </c>
      <c r="F45" s="30">
        <f>F43-D44</f>
        <v/>
      </c>
      <c r="G45" s="30">
        <f>G43-D44</f>
        <v/>
      </c>
      <c r="H45" s="31">
        <f>H43-D44</f>
        <v/>
      </c>
      <c r="I45" s="30">
        <f>I43-D44</f>
        <v/>
      </c>
    </row>
    <row customHeight="1" ht="22.5" r="46" s="44">
      <c r="A46" s="23" t="inlineStr">
        <is>
          <t>bk</t>
        </is>
      </c>
      <c r="B46" s="32" t="n"/>
      <c r="C46" s="22" t="inlineStr">
        <is>
          <t>±200,00</t>
        </is>
      </c>
      <c r="D46" s="49">
        <f>(F19-G19) /2 / E26/B26/D30 *206265</f>
        <v/>
      </c>
      <c r="E46" s="49">
        <f>(F20-G20) / 2 /E26/B26/ E30 * 206265</f>
        <v/>
      </c>
      <c r="F46" s="49">
        <f>(F21-G21) /2 /E26/B26/ F30 * 206265</f>
        <v/>
      </c>
      <c r="G46" s="49">
        <f>(F22-G22) / 2 / E26/B26/G30 * 206265</f>
        <v/>
      </c>
      <c r="H46" s="49">
        <f>(F23-G23) /2 / E26/B26/H30* 206265</f>
        <v/>
      </c>
      <c r="I46" s="49">
        <f>(F24-G24) /2 / E26/B26/I30 *206265</f>
        <v/>
      </c>
    </row>
    <row customHeight="1" ht="22.5" r="47" s="44">
      <c r="A47" s="23" t="inlineStr">
        <is>
          <t>bi</t>
        </is>
      </c>
      <c r="B47" s="21" t="n"/>
      <c r="C47" s="22" t="inlineStr">
        <is>
          <t>±200,00</t>
        </is>
      </c>
      <c r="D47" s="49">
        <f>SUM(D46:I46) / 6</f>
        <v/>
      </c>
      <c r="E47" s="47" t="n"/>
      <c r="F47" s="47" t="n"/>
      <c r="G47" s="47" t="n"/>
      <c r="H47" s="47" t="n"/>
      <c r="I47" s="48" t="n"/>
    </row>
    <row customFormat="1" customHeight="1" ht="21" r="48" s="51">
      <c r="A48" s="23" t="inlineStr">
        <is>
          <t>dbk</t>
        </is>
      </c>
      <c r="B48" s="25" t="inlineStr">
        <is>
          <t>bк - bi</t>
        </is>
      </c>
      <c r="C48" s="22" t="inlineStr">
        <is>
          <t>±10,00</t>
        </is>
      </c>
      <c r="D48" s="49">
        <f>D46-D47</f>
        <v/>
      </c>
      <c r="E48" s="49">
        <f>E46-D47</f>
        <v/>
      </c>
      <c r="F48" s="49">
        <f>F46-D47</f>
        <v/>
      </c>
      <c r="G48" s="49">
        <f>G46-D47</f>
        <v/>
      </c>
      <c r="H48" s="49">
        <f>H46-D47</f>
        <v/>
      </c>
      <c r="I48" s="49">
        <f>I46-D47</f>
        <v/>
      </c>
    </row>
    <row customHeight="1" ht="15" r="49" s="44">
      <c r="A49" s="43" t="inlineStr">
        <is>
          <t xml:space="preserve">                             </t>
        </is>
      </c>
    </row>
    <row customHeight="1" ht="15" r="50" s="44">
      <c r="A50" s="45" t="inlineStr">
        <is>
          <t xml:space="preserve">                       Executor                                   Signature                      Date :27-04-2015 </t>
        </is>
      </c>
    </row>
    <row customHeight="1" ht="15.75" r="52" s="44">
      <c r="A52" s="4" t="n"/>
    </row>
    <row customHeight="1" ht="15.75" r="56" s="44">
      <c r="A56" s="4" t="n"/>
    </row>
    <row customHeight="1" ht="15.75" r="57" s="44">
      <c r="A57" s="4" t="n"/>
    </row>
    <row customHeight="1" ht="15.75" r="58" s="44">
      <c r="A58" s="4" t="n"/>
    </row>
    <row customHeight="1" ht="15.75" r="59" s="44">
      <c r="A59" s="4" t="n"/>
    </row>
    <row customHeight="1" ht="15.75" r="60" s="44">
      <c r="A60" s="4" t="n"/>
    </row>
    <row customHeight="1" ht="15.75" r="61" s="44">
      <c r="A61" s="4" t="n"/>
    </row>
    <row customHeight="1" ht="15.75" r="62" s="44">
      <c r="A62" s="4" t="n"/>
    </row>
    <row customHeight="1" ht="15.75" r="63" s="44">
      <c r="A63" s="4" t="n"/>
    </row>
    <row customHeight="1" ht="15.75" r="64" s="44">
      <c r="A64" s="4" t="n"/>
    </row>
    <row customFormat="1" customHeight="1" ht="15.75" r="65" s="51">
      <c r="A65" s="3" t="n"/>
    </row>
    <row r="66">
      <c r="D66" s="51" t="n"/>
      <c r="E66" s="51" t="n"/>
      <c r="F66" s="51" t="n"/>
      <c r="G66" s="51" t="n"/>
      <c r="H66" s="51" t="n"/>
      <c r="I66" s="51" t="n"/>
    </row>
    <row customHeight="1" ht="15.75" r="68" s="44">
      <c r="A68" s="4" t="n"/>
    </row>
    <row customHeight="1" ht="15.75" r="69" s="44">
      <c r="A69" s="4" t="n"/>
    </row>
    <row customHeight="1" ht="15.75" r="70" s="44">
      <c r="A70" s="4" t="n"/>
    </row>
    <row customHeight="1" ht="15.75" r="71" s="44">
      <c r="A71" s="4" t="n"/>
    </row>
    <row customHeight="1" ht="15.75" r="72" s="44">
      <c r="A72" s="4" t="n"/>
    </row>
    <row customHeight="1" ht="15.75" r="73" s="44">
      <c r="A73" s="4" t="n"/>
    </row>
    <row customHeight="1" ht="15.75" r="74" s="44">
      <c r="A74" s="4" t="n"/>
    </row>
    <row customHeight="1" ht="15.75" r="75" s="44">
      <c r="A75" s="3" t="n"/>
    </row>
  </sheetData>
  <mergeCells count="11">
    <mergeCell ref="A28:I28"/>
    <mergeCell ref="D32:I32"/>
    <mergeCell ref="D35:I35"/>
    <mergeCell ref="D38:I38"/>
    <mergeCell ref="D37:I37"/>
    <mergeCell ref="A49:I49"/>
    <mergeCell ref="A50:I50"/>
    <mergeCell ref="D40:I40"/>
    <mergeCell ref="D42:I42"/>
    <mergeCell ref="D47:I47"/>
    <mergeCell ref="D44:I44"/>
  </mergeCells>
  <pageMargins bottom="0.1968503937007874" footer="0.1968503937007874" header="0.1181102362204725" left="2.01" right="0.1968503937007874" top="0.51"/>
  <pageSetup horizontalDpi="4294967293" orientation="landscape" paperSize="9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>
  <dc:creator xmlns:dc="http://purl.org/dc/elements/1.1/">Leonid Gushturov</dc:creator>
  <dcterms:created xmlns:dcterms="http://purl.org/dc/terms/" xmlns:xsi="http://www.w3.org/2001/XMLSchema-instance" xsi:type="dcterms:W3CDTF">2003-04-01T09:14:39Z</dcterms:created>
  <dcterms:modified xmlns:dcterms="http://purl.org/dc/terms/" xmlns:xsi="http://www.w3.org/2001/XMLSchema-instance" xsi:type="dcterms:W3CDTF">2019-10-07T07:42:58Z</dcterms:modified>
  <cp:lastModifiedBy>sairamtvv</cp:lastModifiedBy>
  <cp:lastPrinted>2014-09-27T09:41:23Z</cp:lastPrinted>
</cp:coreProperties>
</file>